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e2b\AC\Temp\"/>
    </mc:Choice>
  </mc:AlternateContent>
  <xr:revisionPtr revIDLastSave="0" documentId="8_{A66EDFDD-6D99-44F8-949C-F500F7646A22}" xr6:coauthVersionLast="47" xr6:coauthVersionMax="47" xr10:uidLastSave="{00000000-0000-0000-0000-000000000000}"/>
  <bookViews>
    <workbookView xWindow="-60" yWindow="-60" windowWidth="15480" windowHeight="11640" xr2:uid="{3250A01D-D506-4BAA-A8CE-B36927F18FC2}"/>
  </bookViews>
  <sheets>
    <sheet name="DOCUMENTAÇÃO INICIAL" sheetId="1" r:id="rId1"/>
    <sheet name="CONSTRUÇÃO" sheetId="2" r:id="rId2"/>
    <sheet name="EXTRA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3" l="1"/>
  <c r="D36" i="3"/>
  <c r="L16" i="3"/>
  <c r="H16" i="3"/>
  <c r="D16" i="3"/>
  <c r="M3" i="2"/>
  <c r="M31" i="2"/>
  <c r="N31" i="2"/>
  <c r="R30" i="2"/>
  <c r="M30" i="2"/>
  <c r="N30" i="2"/>
  <c r="G6" i="2"/>
  <c r="L22" i="1"/>
  <c r="K23" i="1"/>
  <c r="K14" i="1"/>
  <c r="L14" i="1"/>
  <c r="K12" i="1"/>
  <c r="G6" i="1"/>
</calcChain>
</file>

<file path=xl/sharedStrings.xml><?xml version="1.0" encoding="utf-8"?>
<sst xmlns="http://schemas.openxmlformats.org/spreadsheetml/2006/main" count="196" uniqueCount="129">
  <si>
    <t>CONSTRUÇÃO SAÍDAS –  6°CASA = 5,60x25,00</t>
  </si>
  <si>
    <t xml:space="preserve">DOCUMENTAÇÃO   </t>
  </si>
  <si>
    <t>Saídas</t>
  </si>
  <si>
    <t>Data</t>
  </si>
  <si>
    <t>Valor</t>
  </si>
  <si>
    <t>Total</t>
  </si>
  <si>
    <t>MEDIÇÃO</t>
  </si>
  <si>
    <t>SEMAN</t>
  </si>
  <si>
    <t>TERRENO</t>
  </si>
  <si>
    <t>Ordem de serviço</t>
  </si>
  <si>
    <t>ATUALIZAÇÃO MATRICULA</t>
  </si>
  <si>
    <t>g</t>
  </si>
  <si>
    <t xml:space="preserve"> ISS</t>
  </si>
  <si>
    <t xml:space="preserve"> </t>
  </si>
  <si>
    <t>TEO</t>
  </si>
  <si>
    <t>IPTU</t>
  </si>
  <si>
    <t>TOTAL</t>
  </si>
  <si>
    <t>PROJETO ENGENHEIRO</t>
  </si>
  <si>
    <t>J</t>
  </si>
  <si>
    <t>L</t>
  </si>
  <si>
    <t>SEGURO CAIXA</t>
  </si>
  <si>
    <t>AVERBAÇÃO</t>
  </si>
  <si>
    <t>TOTAL OBRA</t>
  </si>
  <si>
    <t>Corretagem</t>
  </si>
  <si>
    <t>Mão de obra</t>
  </si>
  <si>
    <t>Documentação</t>
  </si>
  <si>
    <t>Material</t>
  </si>
  <si>
    <t>Terreno</t>
  </si>
  <si>
    <t>Lucro</t>
  </si>
  <si>
    <t>CORRETOR LUCIANO 3%</t>
  </si>
  <si>
    <t xml:space="preserve">  </t>
  </si>
  <si>
    <t>MATERIAL DA CASA</t>
  </si>
  <si>
    <t>UNI</t>
  </si>
  <si>
    <t>FERROS</t>
  </si>
  <si>
    <t>PIA WC / TANQUINHO</t>
  </si>
  <si>
    <t>TIJOLOS</t>
  </si>
  <si>
    <t>BLOCOS</t>
  </si>
  <si>
    <t>MANTA ASFALTICA</t>
  </si>
  <si>
    <t>PAGAMENTO MÃO DE OBRA</t>
  </si>
  <si>
    <t>ESPECIFICAÇÕES</t>
  </si>
  <si>
    <t>PAGAMENTO MÃO DE OBRA EXTRA</t>
  </si>
  <si>
    <t>BROCHA</t>
  </si>
  <si>
    <t>HIDRAULICA</t>
  </si>
  <si>
    <t>CIMENTO</t>
  </si>
  <si>
    <t>ADIANTAMENTO</t>
  </si>
  <si>
    <t>GESSO</t>
  </si>
  <si>
    <t>LUZES</t>
  </si>
  <si>
    <t>PINTURA</t>
  </si>
  <si>
    <t>ACAL</t>
  </si>
  <si>
    <t>ELETRICA</t>
  </si>
  <si>
    <t>TRELIÇAS</t>
  </si>
  <si>
    <t>17/12/25</t>
  </si>
  <si>
    <t>-</t>
  </si>
  <si>
    <t>CAIXA DE AGUA</t>
  </si>
  <si>
    <t>TELHAS</t>
  </si>
  <si>
    <t>TRELIÇAS E TELHAS</t>
  </si>
  <si>
    <t>FORRAS</t>
  </si>
  <si>
    <t>GRANITOS</t>
  </si>
  <si>
    <t>NATAL GRAÇAS</t>
  </si>
  <si>
    <t>MADEIRAMENTO TELHADO</t>
  </si>
  <si>
    <t>GOIANO</t>
  </si>
  <si>
    <t>CAIXA DE CORREIO</t>
  </si>
  <si>
    <t>CAIXA DE ENERGIA</t>
  </si>
  <si>
    <t>s/ceramica</t>
  </si>
  <si>
    <t>FIO DE CONEXÃO</t>
  </si>
  <si>
    <t>c/ceramica</t>
  </si>
  <si>
    <t>AGUA HIDRAULICA</t>
  </si>
  <si>
    <t>ENERGIA</t>
  </si>
  <si>
    <t>ISOPOR LAGE</t>
  </si>
  <si>
    <t>LAGE</t>
  </si>
  <si>
    <t>CERAMICA</t>
  </si>
  <si>
    <t>PORTÃO FRENTE</t>
  </si>
  <si>
    <t>PAREDE COZINHA</t>
  </si>
  <si>
    <t>18M</t>
  </si>
  <si>
    <t>AURORA BARNCA</t>
  </si>
  <si>
    <t>VASO BANHEIRO</t>
  </si>
  <si>
    <t>PAREDE BOX</t>
  </si>
  <si>
    <t>8M</t>
  </si>
  <si>
    <t>PORCELANATO</t>
  </si>
  <si>
    <t>CHUV,TORN,PARAFUSO VASO</t>
  </si>
  <si>
    <t>BALCÃO</t>
  </si>
  <si>
    <t>2,5M</t>
  </si>
  <si>
    <t>PIA COZINHA</t>
  </si>
  <si>
    <t>FACHADA</t>
  </si>
  <si>
    <t>6M</t>
  </si>
  <si>
    <t>KIT BANHEIRO</t>
  </si>
  <si>
    <t>CASA GERAL</t>
  </si>
  <si>
    <t>68M</t>
  </si>
  <si>
    <t>AGUA MATERIAL</t>
  </si>
  <si>
    <t>BANHEIRO</t>
  </si>
  <si>
    <t>5M</t>
  </si>
  <si>
    <t>IPANEMA</t>
  </si>
  <si>
    <t>MINI POSTE</t>
  </si>
  <si>
    <t>BOX  ANTIADERANTE</t>
  </si>
  <si>
    <t>1,5M</t>
  </si>
  <si>
    <t>ANTIDERRAPANTE BRANCO</t>
  </si>
  <si>
    <t>LOUÇA</t>
  </si>
  <si>
    <t>HASTE ATERRAMENTO</t>
  </si>
  <si>
    <t>CAIXA DE TETO</t>
  </si>
  <si>
    <t>INSTALAÇÃO ENERGIA</t>
  </si>
  <si>
    <t>CIMENTO APODI</t>
  </si>
  <si>
    <t>ESCORRAS LAJE</t>
  </si>
  <si>
    <t>ARGAMASSA ACII</t>
  </si>
  <si>
    <t>FIOS</t>
  </si>
  <si>
    <t>DEPOSITO</t>
  </si>
  <si>
    <t>REJUNTE BRC</t>
  </si>
  <si>
    <t>TAO</t>
  </si>
  <si>
    <t>PIA GRANITO</t>
  </si>
  <si>
    <t>TINTAS</t>
  </si>
  <si>
    <t>PORTAS E JANELAS DE VIDROS</t>
  </si>
  <si>
    <t>AREIA</t>
  </si>
  <si>
    <t>TIJOLO</t>
  </si>
  <si>
    <t>BARRO</t>
  </si>
  <si>
    <t>BRITA</t>
  </si>
  <si>
    <t>EXTRA</t>
  </si>
  <si>
    <t>CERAMICA AURORA</t>
  </si>
  <si>
    <t>REJUNTE PRETO</t>
  </si>
  <si>
    <t>AC3</t>
  </si>
  <si>
    <t>PORCELANATO PRETO</t>
  </si>
  <si>
    <t>PORTAS DOS QUARTOS</t>
  </si>
  <si>
    <t>AGUA CASAS</t>
  </si>
  <si>
    <t>ADCIONAL – OBRA EU</t>
  </si>
  <si>
    <t>ADCIONAL OBRA - CLIENTE</t>
  </si>
  <si>
    <t>EXTRA PÓS FNALIZAR</t>
  </si>
  <si>
    <t>FACHADA EXTRA</t>
  </si>
  <si>
    <t>8 ARRANDELAS</t>
  </si>
  <si>
    <t>NICHO</t>
  </si>
  <si>
    <t>DINHEIRO INVESTIDO</t>
  </si>
  <si>
    <t>GASTO DO JOAO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</si>
</sst>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&quot; &quot;#,##0.00;[Red]&quot;-&quot;[$R$-416]&quot; &quot;#,##0.00"/>
    <numFmt numFmtId="165" formatCode="dd/mm/yy"/>
  </numFmts>
  <fonts count="2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28"/>
      <color rgb="FF000000"/>
      <name val="Jokerman"/>
      <family val="5"/>
    </font>
    <font>
      <sz val="24"/>
      <color theme="1"/>
      <name val="Jokerman"/>
      <family val="5"/>
    </font>
    <font>
      <sz val="10"/>
      <color rgb="FF000000"/>
      <name val="Arial Black"/>
      <family val="2"/>
    </font>
    <font>
      <sz val="10"/>
      <color theme="1"/>
      <name val="Arial Black"/>
      <family val="2"/>
    </font>
    <font>
      <sz val="10"/>
      <color theme="1"/>
      <name val="Calibri1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1"/>
    </font>
    <font>
      <b/>
      <sz val="10"/>
      <color theme="1"/>
      <name val="Arial Black1"/>
    </font>
    <font>
      <sz val="10"/>
      <color theme="1"/>
      <name val="Arial Black1"/>
    </font>
    <font>
      <b/>
      <sz val="10"/>
      <color rgb="FF000000"/>
      <name val="Arial Black"/>
      <family val="2"/>
    </font>
    <font>
      <b/>
      <sz val="10"/>
      <color theme="1"/>
      <name val="Arial Black"/>
      <family val="2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6F9D4"/>
        <bgColor rgb="FFF6F9D4"/>
      </patternFill>
    </fill>
    <fill>
      <patternFill patternType="solid">
        <fgColor rgb="FF3FAF46"/>
        <bgColor rgb="FF3FAF46"/>
      </patternFill>
    </fill>
    <fill>
      <patternFill patternType="solid">
        <fgColor rgb="FFB4C7DC"/>
        <bgColor rgb="FFB4C7DC"/>
      </patternFill>
    </fill>
    <fill>
      <patternFill patternType="solid">
        <fgColor rgb="FFFFFFFF"/>
        <bgColor rgb="FFFFFFFF"/>
      </patternFill>
    </fill>
    <fill>
      <patternFill patternType="solid">
        <fgColor rgb="FFDEE6EF"/>
        <bgColor rgb="FFDEE6EF"/>
      </patternFill>
    </fill>
    <fill>
      <patternFill patternType="solid">
        <fgColor rgb="FFAFD095"/>
        <bgColor rgb="FFAFD095"/>
      </patternFill>
    </fill>
    <fill>
      <patternFill patternType="solid">
        <fgColor rgb="FFFFDBB6"/>
        <bgColor rgb="FFFFDBB6"/>
      </patternFill>
    </fill>
    <fill>
      <patternFill patternType="solid">
        <fgColor rgb="FFFFFF00"/>
        <bgColor rgb="FFFFFF00"/>
      </patternFill>
    </fill>
    <fill>
      <patternFill patternType="solid">
        <fgColor rgb="FFFFFFD7"/>
        <bgColor rgb="FFFFFFD7"/>
      </patternFill>
    </fill>
    <fill>
      <patternFill patternType="solid">
        <fgColor rgb="FFBBE33D"/>
        <bgColor rgb="FFBBE33D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61">
    <xf numFmtId="0" fontId="0" fillId="0" borderId="0" xfId="0"/>
    <xf numFmtId="0" fontId="16" fillId="10" borderId="2" xfId="0" applyFont="1" applyFill="1" applyBorder="1" applyAlignment="1">
      <alignment horizontal="center"/>
    </xf>
    <xf numFmtId="0" fontId="17" fillId="0" borderId="2" xfId="0" applyFont="1" applyBorder="1"/>
    <xf numFmtId="165" fontId="17" fillId="0" borderId="0" xfId="0" applyNumberFormat="1" applyFont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64" fontId="18" fillId="0" borderId="2" xfId="0" applyNumberFormat="1" applyFont="1" applyBorder="1" applyAlignment="1">
      <alignment horizontal="center"/>
    </xf>
    <xf numFmtId="165" fontId="17" fillId="0" borderId="2" xfId="0" applyNumberFormat="1" applyFont="1" applyBorder="1" applyAlignment="1">
      <alignment horizontal="center"/>
    </xf>
    <xf numFmtId="164" fontId="18" fillId="12" borderId="2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9" fillId="13" borderId="2" xfId="0" applyFont="1" applyFill="1" applyBorder="1" applyAlignment="1">
      <alignment horizontal="center"/>
    </xf>
    <xf numFmtId="0" fontId="18" fillId="0" borderId="0" xfId="0" applyFont="1"/>
    <xf numFmtId="0" fontId="0" fillId="0" borderId="2" xfId="0" applyBorder="1" applyAlignment="1">
      <alignment horizontal="center"/>
    </xf>
    <xf numFmtId="164" fontId="18" fillId="14" borderId="2" xfId="0" applyNumberFormat="1" applyFont="1" applyFill="1" applyBorder="1" applyAlignment="1">
      <alignment horizontal="center"/>
    </xf>
    <xf numFmtId="164" fontId="21" fillId="15" borderId="2" xfId="0" applyNumberFormat="1" applyFont="1" applyFill="1" applyBorder="1" applyAlignment="1">
      <alignment horizontal="center"/>
    </xf>
    <xf numFmtId="165" fontId="22" fillId="12" borderId="2" xfId="0" applyNumberFormat="1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9" borderId="0" xfId="0" applyFill="1"/>
    <xf numFmtId="0" fontId="17" fillId="0" borderId="2" xfId="0" applyFont="1" applyBorder="1" applyAlignment="1">
      <alignment horizontal="center"/>
    </xf>
    <xf numFmtId="164" fontId="0" fillId="0" borderId="0" xfId="0" applyNumberFormat="1"/>
    <xf numFmtId="164" fontId="17" fillId="18" borderId="2" xfId="0" applyNumberFormat="1" applyFont="1" applyFill="1" applyBorder="1" applyAlignment="1">
      <alignment horizontal="center"/>
    </xf>
    <xf numFmtId="164" fontId="17" fillId="16" borderId="2" xfId="0" applyNumberFormat="1" applyFont="1" applyFill="1" applyBorder="1" applyAlignment="1">
      <alignment horizontal="center"/>
    </xf>
    <xf numFmtId="0" fontId="0" fillId="0" borderId="2" xfId="0" applyBorder="1"/>
    <xf numFmtId="0" fontId="17" fillId="0" borderId="2" xfId="0" applyFont="1" applyBorder="1" applyAlignment="1">
      <alignment horizontal="left"/>
    </xf>
    <xf numFmtId="0" fontId="23" fillId="0" borderId="2" xfId="0" applyFont="1" applyBorder="1"/>
    <xf numFmtId="165" fontId="23" fillId="0" borderId="2" xfId="0" applyNumberFormat="1" applyFont="1" applyBorder="1" applyAlignment="1">
      <alignment horizontal="center"/>
    </xf>
    <xf numFmtId="164" fontId="23" fillId="0" borderId="2" xfId="0" applyNumberFormat="1" applyFont="1" applyBorder="1" applyAlignment="1">
      <alignment horizontal="center"/>
    </xf>
    <xf numFmtId="0" fontId="17" fillId="11" borderId="2" xfId="0" applyFont="1" applyFill="1" applyBorder="1" applyAlignment="1">
      <alignment horizontal="center"/>
    </xf>
    <xf numFmtId="0" fontId="17" fillId="11" borderId="2" xfId="0" applyFont="1" applyFill="1" applyBorder="1"/>
    <xf numFmtId="0" fontId="2" fillId="0" borderId="0" xfId="0" applyFont="1"/>
    <xf numFmtId="0" fontId="22" fillId="0" borderId="2" xfId="0" applyFont="1" applyBorder="1" applyAlignment="1">
      <alignment horizontal="center"/>
    </xf>
    <xf numFmtId="165" fontId="22" fillId="0" borderId="2" xfId="0" applyNumberFormat="1" applyFont="1" applyBorder="1" applyAlignment="1">
      <alignment horizontal="center"/>
    </xf>
    <xf numFmtId="164" fontId="22" fillId="0" borderId="2" xfId="0" applyNumberFormat="1" applyFont="1" applyBorder="1" applyAlignment="1">
      <alignment horizontal="center"/>
    </xf>
    <xf numFmtId="0" fontId="23" fillId="12" borderId="2" xfId="0" applyFont="1" applyFill="1" applyBorder="1" applyAlignment="1">
      <alignment horizontal="center"/>
    </xf>
    <xf numFmtId="0" fontId="22" fillId="12" borderId="2" xfId="0" applyFont="1" applyFill="1" applyBorder="1" applyAlignment="1">
      <alignment horizontal="center"/>
    </xf>
    <xf numFmtId="164" fontId="22" fillId="12" borderId="2" xfId="0" applyNumberFormat="1" applyFont="1" applyFill="1" applyBorder="1" applyAlignment="1">
      <alignment horizontal="center"/>
    </xf>
    <xf numFmtId="0" fontId="23" fillId="12" borderId="2" xfId="0" applyFont="1" applyFill="1" applyBorder="1" applyAlignment="1">
      <alignment horizontal="left"/>
    </xf>
    <xf numFmtId="0" fontId="23" fillId="0" borderId="2" xfId="0" applyFont="1" applyBorder="1" applyAlignment="1">
      <alignment horizontal="center"/>
    </xf>
    <xf numFmtId="164" fontId="23" fillId="12" borderId="2" xfId="0" applyNumberFormat="1" applyFont="1" applyFill="1" applyBorder="1" applyAlignment="1">
      <alignment horizontal="center"/>
    </xf>
    <xf numFmtId="164" fontId="24" fillId="0" borderId="2" xfId="0" applyNumberFormat="1" applyFont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5" fontId="25" fillId="0" borderId="2" xfId="0" applyNumberFormat="1" applyFont="1" applyBorder="1" applyAlignment="1">
      <alignment horizontal="center"/>
    </xf>
    <xf numFmtId="164" fontId="25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5" fillId="12" borderId="2" xfId="0" applyNumberFormat="1" applyFont="1" applyFill="1" applyBorder="1" applyAlignment="1">
      <alignment horizontal="center"/>
    </xf>
    <xf numFmtId="0" fontId="25" fillId="12" borderId="2" xfId="0" applyFont="1" applyFill="1" applyBorder="1" applyAlignment="1">
      <alignment horizontal="center"/>
    </xf>
    <xf numFmtId="164" fontId="25" fillId="12" borderId="2" xfId="0" applyNumberFormat="1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14" fillId="9" borderId="2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164" fontId="17" fillId="0" borderId="2" xfId="0" applyNumberFormat="1" applyFont="1" applyFill="1" applyBorder="1" applyAlignment="1">
      <alignment horizontal="center" vertical="center"/>
    </xf>
    <xf numFmtId="164" fontId="20" fillId="13" borderId="2" xfId="0" applyNumberFormat="1" applyFont="1" applyFill="1" applyBorder="1" applyAlignment="1">
      <alignment horizontal="center"/>
    </xf>
    <xf numFmtId="0" fontId="22" fillId="0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</cellXfs>
  <cellStyles count="20">
    <cellStyle name="Accent" xfId="7" xr:uid="{315F25AE-8631-4D2F-8215-ACF41D98F2F6}"/>
    <cellStyle name="Accent 1" xfId="8" xr:uid="{63D73919-8891-4A08-96B8-82DF3B320233}"/>
    <cellStyle name="Accent 2" xfId="9" xr:uid="{D161DD63-D683-4971-BAEA-AAC0001DBF82}"/>
    <cellStyle name="Accent 3" xfId="10" xr:uid="{1758DFA7-F7CB-4A65-85E1-7AC6A1D9A24A}"/>
    <cellStyle name="Bom" xfId="3" builtinId="26" customBuiltin="1"/>
    <cellStyle name="Default" xfId="11" xr:uid="{B54D3BE3-DCFD-44D6-B2A6-6325DBE7A014}"/>
    <cellStyle name="Error" xfId="12" xr:uid="{C91CA938-A636-4698-8E44-1D8D508FB563}"/>
    <cellStyle name="Footnote" xfId="13" xr:uid="{2CE529F9-4C3D-4CEB-ABBD-79116D3F7ABA}"/>
    <cellStyle name="Heading" xfId="14" xr:uid="{217C0FFC-4DF9-41B0-B94F-9D9A167986FD}"/>
    <cellStyle name="Hyperlink" xfId="15" xr:uid="{BB1C213C-F8BC-43F5-AFC5-31575EDB30FB}"/>
    <cellStyle name="Neutro" xfId="5" builtinId="28" customBuiltin="1"/>
    <cellStyle name="Normal" xfId="0" builtinId="0" customBuiltin="1"/>
    <cellStyle name="Nota" xfId="6" builtinId="10" customBuiltin="1"/>
    <cellStyle name="Result" xfId="16" xr:uid="{25927973-090C-476B-B3A0-B8C0261DB0A0}"/>
    <cellStyle name="Ruim" xfId="4" builtinId="27" customBuiltin="1"/>
    <cellStyle name="Status" xfId="17" xr:uid="{D93D671D-98A0-46C8-9F64-BFAD5ABA8898}"/>
    <cellStyle name="Text" xfId="18" xr:uid="{C3D9E81F-1FA2-4E54-8DE9-983B0C62F89F}"/>
    <cellStyle name="Título 1" xfId="1" builtinId="16" customBuiltin="1"/>
    <cellStyle name="Título 2" xfId="2" builtinId="17" customBuiltin="1"/>
    <cellStyle name="Warning" xfId="19" xr:uid="{086B35DE-DFE9-48BB-B6ED-F9CF5BC724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2CE6-8CD2-4056-A988-1051BF8F5A1A}">
  <dimension ref="A1:N32"/>
  <sheetViews>
    <sheetView tabSelected="1" workbookViewId="0">
      <selection sqref="A1:L3"/>
    </sheetView>
  </sheetViews>
  <sheetFormatPr defaultRowHeight="12.75"/>
  <cols>
    <col min="1" max="1" width="33.171875" customWidth="1"/>
    <col min="2" max="2" width="14.29296875" customWidth="1"/>
    <col min="3" max="3" width="14.83203125" customWidth="1"/>
    <col min="4" max="6" width="12.13671875" customWidth="1"/>
    <col min="7" max="7" width="15.640625" customWidth="1"/>
    <col min="8" max="9" width="12.13671875" customWidth="1"/>
    <col min="10" max="10" width="15.37109375" customWidth="1"/>
    <col min="11" max="11" width="21.171875" customWidth="1"/>
    <col min="12" max="12" width="19.28125" customWidth="1"/>
    <col min="13" max="13" width="14.83203125" customWidth="1"/>
    <col min="14" max="14" width="14.0234375" customWidth="1"/>
  </cols>
  <sheetData>
    <row r="1" spans="1:14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4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4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4" ht="30.4" customHeight="1">
      <c r="A4" s="54" t="s">
        <v>1</v>
      </c>
      <c r="B4" s="54"/>
      <c r="C4" s="54"/>
      <c r="D4" s="54"/>
      <c r="E4" s="54"/>
      <c r="F4" s="54"/>
      <c r="G4" s="54"/>
    </row>
    <row r="5" spans="1:14" ht="15.75">
      <c r="A5" s="1" t="s">
        <v>2</v>
      </c>
      <c r="B5" s="1" t="s">
        <v>3</v>
      </c>
      <c r="C5" s="1" t="s">
        <v>4</v>
      </c>
      <c r="D5" s="1"/>
      <c r="E5" s="1"/>
      <c r="F5" s="1"/>
      <c r="G5" s="1" t="s">
        <v>5</v>
      </c>
      <c r="J5" s="55" t="s">
        <v>6</v>
      </c>
      <c r="K5" s="55"/>
      <c r="L5" s="55"/>
    </row>
    <row r="6" spans="1:14" ht="15.75">
      <c r="A6" s="2" t="s">
        <v>7</v>
      </c>
      <c r="B6" s="3">
        <v>45931</v>
      </c>
      <c r="C6" s="4">
        <v>90.45</v>
      </c>
      <c r="D6" s="2"/>
      <c r="E6" s="2"/>
      <c r="F6" s="2"/>
      <c r="G6" s="56">
        <f>SUM(C6:C23)</f>
        <v>10190.810000000001</v>
      </c>
      <c r="J6" s="5">
        <v>1</v>
      </c>
      <c r="K6" s="6">
        <v>23900</v>
      </c>
      <c r="L6" s="5" t="s">
        <v>8</v>
      </c>
    </row>
    <row r="7" spans="1:14" ht="15.75">
      <c r="A7" s="2" t="s">
        <v>9</v>
      </c>
      <c r="B7" s="7">
        <v>45937</v>
      </c>
      <c r="C7" s="4">
        <v>750</v>
      </c>
      <c r="D7" s="2"/>
      <c r="E7" s="2"/>
      <c r="F7" s="2"/>
      <c r="G7" s="56"/>
      <c r="J7" s="5">
        <v>2</v>
      </c>
      <c r="K7" s="6">
        <v>36425.93</v>
      </c>
      <c r="L7" s="6" t="s">
        <v>6</v>
      </c>
    </row>
    <row r="8" spans="1:14" ht="15.75">
      <c r="A8" s="2" t="s">
        <v>10</v>
      </c>
      <c r="B8" s="7">
        <v>45939</v>
      </c>
      <c r="C8" s="4">
        <v>112.6</v>
      </c>
      <c r="D8" s="2"/>
      <c r="E8" s="2"/>
      <c r="F8" s="2"/>
      <c r="G8" s="56"/>
      <c r="J8" s="5">
        <v>3</v>
      </c>
      <c r="K8" s="6">
        <v>29942.01</v>
      </c>
      <c r="L8" s="6" t="s">
        <v>6</v>
      </c>
    </row>
    <row r="9" spans="1:14" ht="15.75">
      <c r="A9" s="2" t="s">
        <v>10</v>
      </c>
      <c r="B9" s="7">
        <v>45954</v>
      </c>
      <c r="C9" s="4">
        <v>112.6</v>
      </c>
      <c r="D9" s="2"/>
      <c r="E9" s="2"/>
      <c r="F9" s="2"/>
      <c r="G9" s="56"/>
      <c r="J9" s="5">
        <v>4</v>
      </c>
      <c r="K9" s="8" t="s">
        <v>11</v>
      </c>
      <c r="L9" s="6" t="s">
        <v>6</v>
      </c>
      <c r="M9" s="9"/>
    </row>
    <row r="10" spans="1:14" ht="15.75">
      <c r="A10" s="2" t="s">
        <v>12</v>
      </c>
      <c r="B10" s="7">
        <v>45958</v>
      </c>
      <c r="C10" s="4">
        <v>976.64</v>
      </c>
      <c r="D10" s="2"/>
      <c r="E10" s="2"/>
      <c r="F10" s="2"/>
      <c r="G10" s="56"/>
      <c r="J10" s="5">
        <v>5</v>
      </c>
      <c r="K10" s="8"/>
      <c r="L10" s="6" t="s">
        <v>6</v>
      </c>
      <c r="M10" t="s">
        <v>13</v>
      </c>
    </row>
    <row r="11" spans="1:14" ht="15.75">
      <c r="A11" s="2" t="s">
        <v>14</v>
      </c>
      <c r="B11" s="7">
        <v>45958</v>
      </c>
      <c r="C11" s="4">
        <v>44.85</v>
      </c>
      <c r="D11" s="2"/>
      <c r="E11" s="2"/>
      <c r="F11" s="2"/>
      <c r="G11" s="56"/>
      <c r="J11" s="5">
        <v>6</v>
      </c>
      <c r="K11" s="6"/>
      <c r="L11" s="6" t="s">
        <v>6</v>
      </c>
    </row>
    <row r="12" spans="1:14" ht="15.75">
      <c r="A12" s="2" t="s">
        <v>15</v>
      </c>
      <c r="B12" s="7">
        <v>45958</v>
      </c>
      <c r="C12" s="4">
        <v>40.11</v>
      </c>
      <c r="D12" s="2"/>
      <c r="E12" s="2"/>
      <c r="F12" s="2"/>
      <c r="G12" s="56"/>
      <c r="J12" s="10" t="s">
        <v>16</v>
      </c>
      <c r="K12" s="57">
        <f>SUM(K6:K11)</f>
        <v>90267.94</v>
      </c>
      <c r="L12" s="57"/>
    </row>
    <row r="13" spans="1:14" ht="15.75">
      <c r="A13" s="2" t="s">
        <v>17</v>
      </c>
      <c r="B13" s="7">
        <v>45960</v>
      </c>
      <c r="C13" s="4">
        <v>600</v>
      </c>
      <c r="D13" s="2"/>
      <c r="E13" s="2"/>
      <c r="F13" s="2"/>
      <c r="G13" s="56"/>
      <c r="J13" s="11"/>
      <c r="K13" s="11"/>
      <c r="L13" s="11"/>
      <c r="M13" s="12" t="s">
        <v>18</v>
      </c>
      <c r="N13" s="12" t="s">
        <v>19</v>
      </c>
    </row>
    <row r="14" spans="1:14" ht="15.75">
      <c r="A14" s="2" t="s">
        <v>20</v>
      </c>
      <c r="B14" s="7">
        <v>45964</v>
      </c>
      <c r="C14" s="4">
        <v>1930</v>
      </c>
      <c r="D14" s="2"/>
      <c r="E14" s="2"/>
      <c r="F14" s="2"/>
      <c r="G14" s="56"/>
      <c r="I14" t="s">
        <v>13</v>
      </c>
      <c r="J14" s="13">
        <v>150000</v>
      </c>
      <c r="K14" s="13">
        <f>SUM(K6:K11)</f>
        <v>90267.94</v>
      </c>
      <c r="L14" s="13">
        <f>J14-K14</f>
        <v>59732.06</v>
      </c>
      <c r="M14" s="14">
        <v>1500</v>
      </c>
      <c r="N14" s="14">
        <v>1500</v>
      </c>
    </row>
    <row r="15" spans="1:14" ht="15.75">
      <c r="A15" s="2" t="s">
        <v>21</v>
      </c>
      <c r="B15" s="15">
        <v>45971</v>
      </c>
      <c r="C15" s="4">
        <v>5533.56</v>
      </c>
      <c r="D15" s="2"/>
      <c r="E15" s="2"/>
      <c r="F15" s="2"/>
      <c r="G15" s="56"/>
      <c r="J15" s="8"/>
      <c r="K15" s="8"/>
      <c r="L15" s="8"/>
    </row>
    <row r="16" spans="1:14" ht="15.75">
      <c r="A16" s="2"/>
      <c r="B16" s="7"/>
      <c r="C16" s="4"/>
      <c r="D16" s="2"/>
      <c r="E16" s="2"/>
      <c r="F16" s="2"/>
      <c r="G16" s="56"/>
    </row>
    <row r="17" spans="1:14" ht="15.75">
      <c r="A17" s="2"/>
      <c r="B17" s="7"/>
      <c r="C17" s="4"/>
      <c r="D17" s="2"/>
      <c r="E17" s="2"/>
      <c r="F17" s="2"/>
      <c r="G17" s="56"/>
      <c r="J17" s="52" t="s">
        <v>22</v>
      </c>
      <c r="K17" s="52"/>
    </row>
    <row r="18" spans="1:14" ht="15.75">
      <c r="A18" s="2"/>
      <c r="B18" s="7"/>
      <c r="C18" s="4"/>
      <c r="D18" s="2"/>
      <c r="E18" s="2"/>
      <c r="F18" s="2"/>
      <c r="G18" s="56"/>
      <c r="J18" s="17" t="s">
        <v>23</v>
      </c>
      <c r="K18" s="18">
        <v>5600</v>
      </c>
    </row>
    <row r="19" spans="1:14" ht="15.75">
      <c r="A19" s="2"/>
      <c r="B19" s="7"/>
      <c r="C19" s="4"/>
      <c r="D19" s="2"/>
      <c r="E19" s="2"/>
      <c r="F19" s="2"/>
      <c r="G19" s="56"/>
      <c r="J19" s="17" t="s">
        <v>24</v>
      </c>
      <c r="K19" s="18">
        <v>32500</v>
      </c>
    </row>
    <row r="20" spans="1:14" ht="15.75">
      <c r="A20" s="2"/>
      <c r="B20" s="7"/>
      <c r="C20" s="4"/>
      <c r="D20" s="2"/>
      <c r="E20" s="2"/>
      <c r="F20" s="2"/>
      <c r="G20" s="56"/>
      <c r="J20" s="17" t="s">
        <v>25</v>
      </c>
      <c r="K20" s="18">
        <v>11000</v>
      </c>
      <c r="N20" s="19"/>
    </row>
    <row r="21" spans="1:14" ht="15.75">
      <c r="A21" s="2"/>
      <c r="B21" s="20"/>
      <c r="C21" s="20"/>
      <c r="D21" s="2"/>
      <c r="E21" s="2"/>
      <c r="F21" s="2"/>
      <c r="G21" s="56"/>
      <c r="J21" s="17" t="s">
        <v>26</v>
      </c>
      <c r="K21" s="18">
        <v>65000</v>
      </c>
      <c r="L21" s="16" t="s">
        <v>16</v>
      </c>
    </row>
    <row r="22" spans="1:14" ht="15.75">
      <c r="A22" s="2"/>
      <c r="B22" s="20"/>
      <c r="C22" s="20"/>
      <c r="D22" s="2"/>
      <c r="E22" s="2"/>
      <c r="F22" s="2"/>
      <c r="G22" s="56"/>
      <c r="J22" s="17" t="s">
        <v>27</v>
      </c>
      <c r="K22" s="18">
        <v>10000</v>
      </c>
      <c r="L22" s="18">
        <f>SUM(K18:K22)</f>
        <v>124100</v>
      </c>
    </row>
    <row r="23" spans="1:14" ht="15.75">
      <c r="A23" s="2"/>
      <c r="B23" s="20"/>
      <c r="C23" s="4"/>
      <c r="D23" s="2"/>
      <c r="E23" s="2"/>
      <c r="F23" s="2"/>
      <c r="G23" s="56"/>
      <c r="J23" s="17" t="s">
        <v>28</v>
      </c>
      <c r="K23" s="18">
        <f>J14-L22</f>
        <v>25900</v>
      </c>
      <c r="L23" s="21"/>
    </row>
    <row r="24" spans="1:14" ht="15.75">
      <c r="A24" s="2" t="s">
        <v>29</v>
      </c>
      <c r="B24" s="22">
        <v>4200</v>
      </c>
      <c r="C24" s="23"/>
    </row>
    <row r="25" spans="1:14">
      <c r="F25" t="s">
        <v>30</v>
      </c>
      <c r="J25" s="52" t="s">
        <v>22</v>
      </c>
      <c r="K25" s="52"/>
    </row>
    <row r="26" spans="1:14">
      <c r="J26" s="17" t="s">
        <v>23</v>
      </c>
      <c r="K26" s="18">
        <v>4200</v>
      </c>
    </row>
    <row r="27" spans="1:14">
      <c r="B27" t="s">
        <v>13</v>
      </c>
      <c r="E27" t="s">
        <v>30</v>
      </c>
      <c r="J27" s="17" t="s">
        <v>24</v>
      </c>
      <c r="K27" s="18"/>
    </row>
    <row r="28" spans="1:14">
      <c r="J28" s="17" t="s">
        <v>25</v>
      </c>
      <c r="K28" s="18"/>
    </row>
    <row r="29" spans="1:14">
      <c r="J29" s="17" t="s">
        <v>26</v>
      </c>
      <c r="K29" s="18"/>
    </row>
    <row r="30" spans="1:14">
      <c r="J30" s="17" t="s">
        <v>27</v>
      </c>
      <c r="K30" s="18">
        <v>10000</v>
      </c>
    </row>
    <row r="31" spans="1:14">
      <c r="J31" s="17" t="s">
        <v>28</v>
      </c>
      <c r="K31" s="18"/>
    </row>
    <row r="32" spans="1:14">
      <c r="K32" t="s">
        <v>13</v>
      </c>
      <c r="L32" t="s">
        <v>13</v>
      </c>
    </row>
  </sheetData>
  <mergeCells count="7">
    <mergeCell ref="J25:K25"/>
    <mergeCell ref="A1:L3"/>
    <mergeCell ref="A4:G4"/>
    <mergeCell ref="J5:L5"/>
    <mergeCell ref="G6:G23"/>
    <mergeCell ref="K12:L12"/>
    <mergeCell ref="J17:K17"/>
  </mergeCells>
  <pageMargins left="0" right="0" top="0.39370078740157483" bottom="0.39370078740157483" header="0" footer="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4CBD-BACD-4927-BD70-7349C6F5C991}">
  <dimension ref="A1:S74"/>
  <sheetViews>
    <sheetView workbookViewId="0"/>
  </sheetViews>
  <sheetFormatPr defaultRowHeight="12.75"/>
  <cols>
    <col min="1" max="1" width="35.05859375" customWidth="1"/>
    <col min="2" max="2" width="14.29296875" customWidth="1"/>
    <col min="3" max="3" width="14.83203125" customWidth="1"/>
    <col min="4" max="4" width="13.34765625" customWidth="1"/>
    <col min="5" max="6" width="12.13671875" customWidth="1"/>
    <col min="7" max="7" width="15.37109375" customWidth="1"/>
    <col min="8" max="8" width="16.046875" customWidth="1"/>
    <col min="9" max="9" width="12.13671875" customWidth="1"/>
    <col min="10" max="10" width="15.37109375" customWidth="1"/>
    <col min="11" max="11" width="22.65234375" customWidth="1"/>
    <col min="12" max="12" width="21.98046875" customWidth="1"/>
    <col min="13" max="13" width="28.046875" customWidth="1"/>
    <col min="14" max="14" width="21.171875" customWidth="1"/>
    <col min="15" max="15" width="12.80859375" customWidth="1"/>
    <col min="16" max="16" width="17.125" customWidth="1"/>
    <col min="17" max="17" width="15.37109375" customWidth="1"/>
    <col min="18" max="18" width="16.046875" customWidth="1"/>
    <col min="19" max="19" width="26.16015625" customWidth="1"/>
  </cols>
  <sheetData>
    <row r="1" spans="1:19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21">
        <v>25000</v>
      </c>
    </row>
    <row r="2" spans="1:19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21">
        <v>1568</v>
      </c>
    </row>
    <row r="3" spans="1:19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21">
        <f>SUM(M1:M2)</f>
        <v>26568</v>
      </c>
    </row>
    <row r="4" spans="1:19" ht="30.4" customHeight="1">
      <c r="A4" s="54" t="s">
        <v>31</v>
      </c>
      <c r="B4" s="54"/>
      <c r="C4" s="54"/>
      <c r="D4" s="54"/>
      <c r="E4" s="54"/>
      <c r="F4" s="54"/>
      <c r="G4" s="54"/>
    </row>
    <row r="5" spans="1:19" ht="15.75">
      <c r="A5" s="1" t="s">
        <v>2</v>
      </c>
      <c r="B5" s="1" t="s">
        <v>3</v>
      </c>
      <c r="C5" s="1" t="s">
        <v>4</v>
      </c>
      <c r="D5" s="1" t="s">
        <v>32</v>
      </c>
      <c r="E5" s="1"/>
      <c r="F5" s="1"/>
      <c r="G5" s="1" t="s">
        <v>5</v>
      </c>
      <c r="K5" t="s">
        <v>13</v>
      </c>
    </row>
    <row r="6" spans="1:19" ht="15.75">
      <c r="A6" s="2" t="s">
        <v>33</v>
      </c>
      <c r="B6" s="7">
        <v>45959</v>
      </c>
      <c r="C6" s="4">
        <v>1940.34</v>
      </c>
      <c r="D6" s="24"/>
      <c r="E6" s="2"/>
      <c r="F6" s="2"/>
      <c r="G6" s="56">
        <f>SUM(C6:C74)</f>
        <v>56904.090000000011</v>
      </c>
    </row>
    <row r="7" spans="1:19" ht="15.75">
      <c r="A7" s="25" t="s">
        <v>34</v>
      </c>
      <c r="B7" s="7">
        <v>45961</v>
      </c>
      <c r="C7" s="4">
        <v>244</v>
      </c>
      <c r="D7" s="24"/>
      <c r="E7" s="2"/>
      <c r="F7" s="2"/>
      <c r="G7" s="56"/>
    </row>
    <row r="8" spans="1:19" ht="15.75">
      <c r="A8" s="2" t="s">
        <v>35</v>
      </c>
      <c r="B8" s="7">
        <v>45967</v>
      </c>
      <c r="C8" s="4">
        <v>4200</v>
      </c>
      <c r="D8" s="24"/>
      <c r="E8" s="2"/>
      <c r="F8" s="2"/>
      <c r="G8" s="56"/>
    </row>
    <row r="9" spans="1:19" ht="15.75">
      <c r="A9" s="2" t="s">
        <v>36</v>
      </c>
      <c r="B9" s="7">
        <v>45979</v>
      </c>
      <c r="C9" s="4">
        <v>4000</v>
      </c>
      <c r="D9" s="24"/>
      <c r="E9" s="2"/>
      <c r="F9" s="2"/>
      <c r="G9" s="56"/>
    </row>
    <row r="10" spans="1:19" ht="15.75">
      <c r="A10" s="26" t="s">
        <v>37</v>
      </c>
      <c r="B10" s="27">
        <v>45980</v>
      </c>
      <c r="C10" s="28">
        <v>230</v>
      </c>
      <c r="D10" s="24"/>
      <c r="E10" s="2"/>
      <c r="F10" s="2"/>
      <c r="G10" s="56"/>
      <c r="K10" s="55" t="s">
        <v>38</v>
      </c>
      <c r="L10" s="55"/>
      <c r="M10" s="55"/>
      <c r="N10" s="29" t="s">
        <v>39</v>
      </c>
      <c r="P10" s="55" t="s">
        <v>40</v>
      </c>
      <c r="Q10" s="55"/>
      <c r="R10" s="55"/>
      <c r="S10" s="30" t="s">
        <v>39</v>
      </c>
    </row>
    <row r="11" spans="1:19" ht="15.75">
      <c r="A11" s="26" t="s">
        <v>41</v>
      </c>
      <c r="B11" s="27">
        <v>45980</v>
      </c>
      <c r="C11" s="28">
        <v>12</v>
      </c>
      <c r="D11" s="20"/>
      <c r="E11" s="2"/>
      <c r="F11" s="2"/>
      <c r="G11" s="56"/>
      <c r="J11" s="31">
        <v>1</v>
      </c>
      <c r="K11" s="32">
        <v>1</v>
      </c>
      <c r="L11" s="33">
        <v>45989</v>
      </c>
      <c r="M11" s="34">
        <v>6500</v>
      </c>
      <c r="N11" s="35" t="s">
        <v>6</v>
      </c>
      <c r="O11" t="s">
        <v>13</v>
      </c>
      <c r="P11" s="36">
        <v>1</v>
      </c>
      <c r="Q11" s="15">
        <v>46016</v>
      </c>
      <c r="R11" s="37">
        <v>1200</v>
      </c>
      <c r="S11" s="35" t="s">
        <v>42</v>
      </c>
    </row>
    <row r="12" spans="1:19" ht="15.75">
      <c r="A12" s="25" t="s">
        <v>43</v>
      </c>
      <c r="B12" s="27">
        <v>45980</v>
      </c>
      <c r="C12" s="4">
        <v>2526</v>
      </c>
      <c r="D12" s="20"/>
      <c r="E12" s="2"/>
      <c r="F12" s="2"/>
      <c r="G12" s="56"/>
      <c r="H12" t="s">
        <v>13</v>
      </c>
      <c r="J12" s="31">
        <v>2</v>
      </c>
      <c r="K12" s="32">
        <v>2</v>
      </c>
      <c r="L12" s="33">
        <v>46001</v>
      </c>
      <c r="M12" s="34">
        <v>300</v>
      </c>
      <c r="N12" s="35" t="s">
        <v>44</v>
      </c>
      <c r="P12" s="36">
        <v>2</v>
      </c>
      <c r="Q12" s="15">
        <v>46048</v>
      </c>
      <c r="R12" s="37">
        <v>1300</v>
      </c>
      <c r="S12" s="35" t="s">
        <v>45</v>
      </c>
    </row>
    <row r="13" spans="1:19" ht="15.75">
      <c r="A13" s="25" t="s">
        <v>46</v>
      </c>
      <c r="B13" s="7">
        <v>45985</v>
      </c>
      <c r="C13" s="4">
        <v>168</v>
      </c>
      <c r="D13" s="20"/>
      <c r="E13" s="2"/>
      <c r="F13" s="2"/>
      <c r="G13" s="56"/>
      <c r="J13" s="31">
        <v>3</v>
      </c>
      <c r="K13" s="32">
        <v>3</v>
      </c>
      <c r="L13" s="33">
        <v>46015</v>
      </c>
      <c r="M13" s="34">
        <v>5000</v>
      </c>
      <c r="N13" s="35" t="s">
        <v>6</v>
      </c>
      <c r="P13" s="36">
        <v>3</v>
      </c>
      <c r="Q13" s="15">
        <v>46135</v>
      </c>
      <c r="R13" s="37">
        <v>1200</v>
      </c>
      <c r="S13" s="35" t="s">
        <v>47</v>
      </c>
    </row>
    <row r="14" spans="1:19" ht="15.75">
      <c r="A14" s="2" t="s">
        <v>48</v>
      </c>
      <c r="B14" s="7">
        <v>45985</v>
      </c>
      <c r="C14" s="4">
        <v>200</v>
      </c>
      <c r="D14" s="20"/>
      <c r="E14" s="2"/>
      <c r="F14" s="2"/>
      <c r="G14" s="56"/>
      <c r="J14" s="31">
        <v>4</v>
      </c>
      <c r="K14" s="36">
        <v>4</v>
      </c>
      <c r="L14" s="15">
        <v>46022</v>
      </c>
      <c r="M14" s="37">
        <v>5500</v>
      </c>
      <c r="N14" s="35" t="s">
        <v>6</v>
      </c>
      <c r="P14" s="36">
        <v>4</v>
      </c>
      <c r="Q14" s="15">
        <v>46135</v>
      </c>
      <c r="R14" s="37">
        <v>650</v>
      </c>
      <c r="S14" s="35" t="s">
        <v>49</v>
      </c>
    </row>
    <row r="15" spans="1:19" ht="15.75">
      <c r="A15" s="2" t="s">
        <v>50</v>
      </c>
      <c r="B15" s="7">
        <v>45986</v>
      </c>
      <c r="C15" s="4">
        <v>515</v>
      </c>
      <c r="D15" s="20"/>
      <c r="E15" s="2"/>
      <c r="F15" s="2"/>
      <c r="G15" s="56"/>
      <c r="J15" s="31">
        <v>5</v>
      </c>
      <c r="K15" s="36">
        <v>5</v>
      </c>
      <c r="L15" s="15">
        <v>46038</v>
      </c>
      <c r="M15" s="37">
        <v>6500</v>
      </c>
      <c r="N15" s="35" t="s">
        <v>6</v>
      </c>
      <c r="P15" s="36">
        <v>5</v>
      </c>
      <c r="Q15" s="15"/>
      <c r="R15" s="37"/>
      <c r="S15" s="35"/>
    </row>
    <row r="16" spans="1:19" ht="15.75">
      <c r="A16" s="38" t="s">
        <v>43</v>
      </c>
      <c r="B16" s="15" t="s">
        <v>51</v>
      </c>
      <c r="C16" s="37">
        <v>1407.33</v>
      </c>
      <c r="D16" s="20"/>
      <c r="E16" s="2"/>
      <c r="F16" s="2"/>
      <c r="G16" s="56"/>
      <c r="J16" s="31">
        <v>6</v>
      </c>
      <c r="K16" s="36">
        <v>6</v>
      </c>
      <c r="L16" s="15" t="s">
        <v>52</v>
      </c>
      <c r="M16" s="37">
        <v>2768</v>
      </c>
      <c r="N16" s="35" t="s">
        <v>6</v>
      </c>
      <c r="P16" s="36">
        <v>6</v>
      </c>
      <c r="Q16" s="15"/>
      <c r="R16" s="37"/>
      <c r="S16" s="35"/>
    </row>
    <row r="17" spans="1:19" ht="15.75">
      <c r="A17" s="38" t="s">
        <v>53</v>
      </c>
      <c r="B17" s="15" t="s">
        <v>51</v>
      </c>
      <c r="C17" s="37">
        <v>399.9</v>
      </c>
      <c r="D17" s="20"/>
      <c r="E17" s="2"/>
      <c r="F17" s="2"/>
      <c r="G17" s="56"/>
      <c r="J17" s="31">
        <v>7</v>
      </c>
      <c r="K17" s="36"/>
      <c r="L17" s="15"/>
      <c r="M17" s="37"/>
      <c r="N17" s="35"/>
      <c r="P17" s="36">
        <v>7</v>
      </c>
      <c r="Q17" s="15"/>
      <c r="R17" s="37"/>
      <c r="S17" s="35"/>
    </row>
    <row r="18" spans="1:19" ht="15.75">
      <c r="A18" s="25" t="s">
        <v>54</v>
      </c>
      <c r="B18" s="7">
        <v>46008</v>
      </c>
      <c r="C18" s="4">
        <v>1250</v>
      </c>
      <c r="D18" s="20"/>
      <c r="E18" s="2"/>
      <c r="F18" s="2"/>
      <c r="G18" s="56"/>
      <c r="H18" t="s">
        <v>13</v>
      </c>
      <c r="J18" s="31">
        <v>8</v>
      </c>
      <c r="K18" s="36"/>
      <c r="L18" s="15"/>
      <c r="M18" s="37"/>
      <c r="N18" s="35"/>
      <c r="P18" s="36">
        <v>8</v>
      </c>
      <c r="Q18" s="15"/>
      <c r="R18" s="37"/>
      <c r="S18" s="35"/>
    </row>
    <row r="19" spans="1:19" ht="15.75">
      <c r="A19" s="38" t="s">
        <v>33</v>
      </c>
      <c r="B19" s="7">
        <v>46008</v>
      </c>
      <c r="C19" s="37">
        <v>737.5</v>
      </c>
      <c r="D19" s="20"/>
      <c r="E19" s="2"/>
      <c r="F19" s="2"/>
      <c r="G19" s="56"/>
      <c r="J19" s="31">
        <v>9</v>
      </c>
      <c r="K19" s="32"/>
      <c r="L19" s="33"/>
      <c r="M19" s="34"/>
      <c r="N19" s="39"/>
      <c r="P19" s="36">
        <v>9</v>
      </c>
      <c r="Q19" s="15"/>
      <c r="R19" s="37"/>
      <c r="S19" s="35"/>
    </row>
    <row r="20" spans="1:19" ht="15.75">
      <c r="A20" s="25" t="s">
        <v>43</v>
      </c>
      <c r="B20" s="7">
        <v>46008</v>
      </c>
      <c r="C20" s="4">
        <v>2167.1999999999998</v>
      </c>
      <c r="D20" s="20" t="s">
        <v>13</v>
      </c>
      <c r="E20" s="2"/>
      <c r="F20" s="2"/>
      <c r="G20" s="56"/>
      <c r="J20" s="31">
        <v>10</v>
      </c>
      <c r="K20" s="32"/>
      <c r="L20" s="33"/>
      <c r="M20" s="34"/>
      <c r="N20" s="39"/>
      <c r="P20" s="36">
        <v>10</v>
      </c>
      <c r="Q20" s="15"/>
      <c r="R20" s="37"/>
      <c r="S20" s="35"/>
    </row>
    <row r="21" spans="1:19" ht="15.75">
      <c r="A21" s="25" t="s">
        <v>55</v>
      </c>
      <c r="B21" s="7">
        <v>46010</v>
      </c>
      <c r="C21" s="4">
        <v>1983.33</v>
      </c>
      <c r="D21" s="20"/>
      <c r="E21" s="2"/>
      <c r="F21" s="2"/>
      <c r="G21" s="56"/>
      <c r="J21" s="31">
        <v>11</v>
      </c>
      <c r="K21" s="32"/>
      <c r="L21" s="33"/>
      <c r="M21" s="34"/>
      <c r="N21" s="39"/>
      <c r="P21" s="36">
        <v>11</v>
      </c>
      <c r="Q21" s="15"/>
      <c r="R21" s="40"/>
      <c r="S21" s="35"/>
    </row>
    <row r="22" spans="1:19" ht="15.75">
      <c r="A22" s="25" t="s">
        <v>56</v>
      </c>
      <c r="B22" s="7">
        <v>46011</v>
      </c>
      <c r="C22" s="4">
        <v>600</v>
      </c>
      <c r="D22" s="20"/>
      <c r="E22" s="2"/>
      <c r="F22" s="2"/>
      <c r="G22" s="56"/>
      <c r="J22" s="31">
        <v>12</v>
      </c>
      <c r="K22" s="32"/>
      <c r="L22" s="33"/>
      <c r="M22" s="34"/>
      <c r="N22" s="39"/>
      <c r="P22" s="36">
        <v>12</v>
      </c>
      <c r="Q22" s="15"/>
      <c r="R22" s="40"/>
      <c r="S22" s="35"/>
    </row>
    <row r="23" spans="1:19" ht="15.75">
      <c r="A23" s="26" t="s">
        <v>57</v>
      </c>
      <c r="B23" s="27">
        <v>46013</v>
      </c>
      <c r="C23" s="4">
        <v>600</v>
      </c>
      <c r="D23" s="20"/>
      <c r="E23" s="2"/>
      <c r="F23" s="2"/>
      <c r="G23" s="56"/>
      <c r="I23" s="9"/>
      <c r="J23" s="31">
        <v>13</v>
      </c>
      <c r="K23" s="32"/>
      <c r="L23" s="33"/>
      <c r="M23" s="34"/>
      <c r="N23" s="39"/>
      <c r="P23" s="32">
        <v>13</v>
      </c>
      <c r="Q23" s="33"/>
      <c r="R23" s="28"/>
      <c r="S23" s="39"/>
    </row>
    <row r="24" spans="1:19" ht="15.75">
      <c r="A24" s="25" t="s">
        <v>58</v>
      </c>
      <c r="B24" s="7">
        <v>46015</v>
      </c>
      <c r="C24" s="4">
        <v>160</v>
      </c>
      <c r="D24" s="20"/>
      <c r="E24" s="2"/>
      <c r="F24" s="2"/>
      <c r="G24" s="56"/>
      <c r="I24" s="9"/>
      <c r="J24" s="31">
        <v>14</v>
      </c>
      <c r="K24" s="32"/>
      <c r="L24" s="33"/>
      <c r="M24" s="34"/>
      <c r="N24" s="39"/>
      <c r="P24" s="32">
        <v>14</v>
      </c>
      <c r="Q24" s="33"/>
      <c r="R24" s="26"/>
      <c r="S24" s="39"/>
    </row>
    <row r="25" spans="1:19" ht="15.75">
      <c r="A25" s="25" t="s">
        <v>43</v>
      </c>
      <c r="B25" s="7">
        <v>46020</v>
      </c>
      <c r="C25" s="4">
        <v>560</v>
      </c>
      <c r="D25" s="20"/>
      <c r="E25" s="2"/>
      <c r="F25" s="2"/>
      <c r="G25" s="56"/>
      <c r="J25" s="31">
        <v>15</v>
      </c>
      <c r="K25" s="32"/>
      <c r="L25" s="33"/>
      <c r="M25" s="34"/>
      <c r="N25" s="39"/>
      <c r="P25" s="32">
        <v>15</v>
      </c>
      <c r="Q25" s="33"/>
      <c r="R25" s="26"/>
      <c r="S25" s="39"/>
    </row>
    <row r="26" spans="1:19" ht="15.75">
      <c r="A26" s="25" t="s">
        <v>59</v>
      </c>
      <c r="B26" s="7">
        <v>46020</v>
      </c>
      <c r="C26" s="4">
        <v>2880</v>
      </c>
      <c r="D26" s="20"/>
      <c r="E26" s="2"/>
      <c r="F26" s="2"/>
      <c r="G26" s="56"/>
      <c r="J26" s="31">
        <v>16</v>
      </c>
      <c r="K26" s="32"/>
      <c r="L26" s="33"/>
      <c r="M26" s="34"/>
      <c r="N26" s="39"/>
      <c r="P26" s="32">
        <v>16</v>
      </c>
      <c r="Q26" s="33"/>
      <c r="R26" s="26"/>
      <c r="S26" s="39"/>
    </row>
    <row r="27" spans="1:19" ht="15.75">
      <c r="A27" s="25" t="s">
        <v>60</v>
      </c>
      <c r="B27" s="7">
        <v>46020</v>
      </c>
      <c r="C27" s="4">
        <v>20</v>
      </c>
      <c r="D27" s="20"/>
      <c r="E27" s="2"/>
      <c r="F27" s="2"/>
      <c r="G27" s="56"/>
      <c r="J27" s="31">
        <v>17</v>
      </c>
      <c r="K27" s="32"/>
      <c r="L27" s="33"/>
      <c r="M27" s="34"/>
      <c r="N27" s="39"/>
      <c r="P27" s="32"/>
      <c r="Q27" s="33"/>
      <c r="R27" s="26"/>
      <c r="S27" s="39"/>
    </row>
    <row r="28" spans="1:19" ht="15.75">
      <c r="A28" s="25" t="s">
        <v>61</v>
      </c>
      <c r="B28" s="7">
        <v>46028</v>
      </c>
      <c r="C28" s="4">
        <v>24</v>
      </c>
      <c r="D28" s="20"/>
      <c r="E28" s="2"/>
      <c r="F28" s="2"/>
      <c r="G28" s="56"/>
      <c r="J28" s="31">
        <v>18</v>
      </c>
      <c r="K28" s="32"/>
      <c r="L28" s="33"/>
      <c r="M28" s="34"/>
      <c r="N28" s="39"/>
      <c r="P28" s="32"/>
      <c r="Q28" s="33"/>
      <c r="R28" s="26"/>
      <c r="S28" s="39"/>
    </row>
    <row r="29" spans="1:19" ht="15.75">
      <c r="A29" s="26" t="s">
        <v>62</v>
      </c>
      <c r="B29" s="27">
        <v>46041</v>
      </c>
      <c r="C29" s="4">
        <v>179.19</v>
      </c>
      <c r="D29" s="20"/>
      <c r="E29" s="2"/>
      <c r="F29" s="2"/>
      <c r="G29" s="56"/>
      <c r="J29" s="31">
        <v>19</v>
      </c>
      <c r="K29" s="26"/>
      <c r="L29" s="33"/>
      <c r="M29" s="34"/>
      <c r="N29" s="39"/>
      <c r="P29" s="26"/>
      <c r="Q29" s="33"/>
      <c r="R29" s="26"/>
      <c r="S29" s="39"/>
    </row>
    <row r="30" spans="1:19" ht="15.75">
      <c r="A30" s="25" t="s">
        <v>54</v>
      </c>
      <c r="B30" s="7">
        <v>46043</v>
      </c>
      <c r="C30" s="4">
        <v>480</v>
      </c>
      <c r="D30" s="20"/>
      <c r="E30" s="2"/>
      <c r="F30" s="2"/>
      <c r="G30" s="56"/>
      <c r="K30" s="58" t="s">
        <v>16</v>
      </c>
      <c r="L30" s="58"/>
      <c r="M30" s="34">
        <f>SUM(M11:M29)</f>
        <v>26568</v>
      </c>
      <c r="N30" s="28">
        <f>M1-M30</f>
        <v>-1568</v>
      </c>
      <c r="O30" t="s">
        <v>63</v>
      </c>
      <c r="P30" s="58" t="s">
        <v>16</v>
      </c>
      <c r="Q30" s="58"/>
      <c r="R30" s="34">
        <f>SUM(R11:R29)</f>
        <v>4350</v>
      </c>
      <c r="S30" s="39"/>
    </row>
    <row r="31" spans="1:19" ht="15.75">
      <c r="A31" s="26" t="s">
        <v>64</v>
      </c>
      <c r="B31" s="27">
        <v>46043</v>
      </c>
      <c r="C31" s="4">
        <v>100</v>
      </c>
      <c r="D31" s="20"/>
      <c r="E31" s="2"/>
      <c r="F31" s="2"/>
      <c r="G31" s="56"/>
      <c r="M31" s="41">
        <f>SUM(M11:M29)</f>
        <v>26568</v>
      </c>
      <c r="N31" s="34">
        <f>M3-M31</f>
        <v>0</v>
      </c>
      <c r="O31" t="s">
        <v>65</v>
      </c>
    </row>
    <row r="32" spans="1:19" ht="15.75">
      <c r="A32" s="25" t="s">
        <v>66</v>
      </c>
      <c r="B32" s="7">
        <v>46045</v>
      </c>
      <c r="C32" s="4">
        <v>634.16</v>
      </c>
      <c r="D32" s="20"/>
      <c r="E32" s="2"/>
      <c r="F32" s="2"/>
      <c r="G32" s="56"/>
      <c r="M32" t="s">
        <v>13</v>
      </c>
      <c r="N32" t="s">
        <v>13</v>
      </c>
      <c r="O32" t="s">
        <v>13</v>
      </c>
    </row>
    <row r="33" spans="1:13" ht="15.75">
      <c r="A33" s="25" t="s">
        <v>67</v>
      </c>
      <c r="B33" s="7">
        <v>46045</v>
      </c>
      <c r="C33" s="4">
        <v>467.96</v>
      </c>
      <c r="D33" s="20"/>
      <c r="E33" s="2"/>
      <c r="F33" s="2"/>
      <c r="G33" s="56"/>
    </row>
    <row r="34" spans="1:13" ht="15.75">
      <c r="A34" s="25" t="s">
        <v>43</v>
      </c>
      <c r="B34" s="7">
        <v>46045</v>
      </c>
      <c r="C34" s="4">
        <v>225</v>
      </c>
      <c r="D34" s="20"/>
      <c r="E34" s="2"/>
      <c r="F34" s="2"/>
      <c r="G34" s="56"/>
    </row>
    <row r="35" spans="1:13" ht="15.75">
      <c r="A35" s="25" t="s">
        <v>68</v>
      </c>
      <c r="B35" s="7">
        <v>46045</v>
      </c>
      <c r="C35" s="4">
        <v>724.8</v>
      </c>
      <c r="D35" s="20"/>
      <c r="E35" s="2"/>
      <c r="F35" s="2"/>
      <c r="G35" s="56"/>
    </row>
    <row r="36" spans="1:13" ht="15.75">
      <c r="A36" s="25" t="s">
        <v>69</v>
      </c>
      <c r="B36" s="7">
        <v>46045</v>
      </c>
      <c r="C36" s="4">
        <v>2153.66</v>
      </c>
      <c r="D36" s="20"/>
      <c r="E36" s="2"/>
      <c r="F36" s="2"/>
      <c r="G36" s="56"/>
      <c r="K36" s="59" t="s">
        <v>70</v>
      </c>
      <c r="L36" s="59"/>
      <c r="M36" s="59"/>
    </row>
    <row r="37" spans="1:13" ht="15.75">
      <c r="A37" s="25" t="s">
        <v>71</v>
      </c>
      <c r="B37" s="27">
        <v>46048</v>
      </c>
      <c r="C37" s="4">
        <v>2400</v>
      </c>
      <c r="D37" s="20"/>
      <c r="E37" s="2"/>
      <c r="F37" s="2"/>
      <c r="G37" s="56"/>
      <c r="K37" s="42" t="s">
        <v>72</v>
      </c>
      <c r="L37" s="18" t="s">
        <v>73</v>
      </c>
      <c r="M37" s="18" t="s">
        <v>74</v>
      </c>
    </row>
    <row r="38" spans="1:13" ht="15.75">
      <c r="A38" s="25" t="s">
        <v>75</v>
      </c>
      <c r="B38" s="7">
        <v>46057</v>
      </c>
      <c r="C38" s="4">
        <v>699.8</v>
      </c>
      <c r="D38" s="20"/>
      <c r="E38" s="2"/>
      <c r="F38" s="2"/>
      <c r="G38" s="56"/>
      <c r="K38" s="42" t="s">
        <v>76</v>
      </c>
      <c r="L38" s="18" t="s">
        <v>77</v>
      </c>
      <c r="M38" s="18" t="s">
        <v>78</v>
      </c>
    </row>
    <row r="39" spans="1:13" ht="15.75">
      <c r="A39" s="25" t="s">
        <v>79</v>
      </c>
      <c r="B39" s="7">
        <v>46057</v>
      </c>
      <c r="C39" s="4">
        <v>175.69</v>
      </c>
      <c r="D39" s="20"/>
      <c r="E39" s="2"/>
      <c r="F39" s="2"/>
      <c r="G39" s="56"/>
      <c r="K39" s="42" t="s">
        <v>80</v>
      </c>
      <c r="L39" s="18" t="s">
        <v>81</v>
      </c>
      <c r="M39" s="18" t="s">
        <v>78</v>
      </c>
    </row>
    <row r="40" spans="1:13" ht="15.75">
      <c r="A40" s="25" t="s">
        <v>82</v>
      </c>
      <c r="B40" s="7">
        <v>46057</v>
      </c>
      <c r="C40" s="4" t="s">
        <v>52</v>
      </c>
      <c r="D40" s="20"/>
      <c r="E40" s="2"/>
      <c r="F40" s="2"/>
      <c r="G40" s="56"/>
      <c r="K40" s="42" t="s">
        <v>83</v>
      </c>
      <c r="L40" s="18" t="s">
        <v>84</v>
      </c>
      <c r="M40" s="18" t="s">
        <v>78</v>
      </c>
    </row>
    <row r="41" spans="1:13" ht="15.75">
      <c r="A41" s="25" t="s">
        <v>85</v>
      </c>
      <c r="B41" s="7">
        <v>46057</v>
      </c>
      <c r="C41" s="4">
        <v>87.64</v>
      </c>
      <c r="D41" s="20"/>
      <c r="E41" s="2"/>
      <c r="F41" s="2"/>
      <c r="G41" s="56"/>
      <c r="K41" s="42" t="s">
        <v>86</v>
      </c>
      <c r="L41" s="18" t="s">
        <v>87</v>
      </c>
      <c r="M41" s="18" t="s">
        <v>74</v>
      </c>
    </row>
    <row r="42" spans="1:13" ht="15.75">
      <c r="A42" s="25" t="s">
        <v>88</v>
      </c>
      <c r="B42" s="7">
        <v>46021</v>
      </c>
      <c r="C42" s="4">
        <v>333.33</v>
      </c>
      <c r="D42" s="20"/>
      <c r="E42" s="2"/>
      <c r="F42" s="2"/>
      <c r="G42" s="56"/>
      <c r="K42" s="42" t="s">
        <v>89</v>
      </c>
      <c r="L42" s="18" t="s">
        <v>90</v>
      </c>
      <c r="M42" s="18" t="s">
        <v>91</v>
      </c>
    </row>
    <row r="43" spans="1:13" ht="15.75">
      <c r="A43" s="25" t="s">
        <v>92</v>
      </c>
      <c r="B43" s="7">
        <v>46021</v>
      </c>
      <c r="C43" s="4">
        <v>78</v>
      </c>
      <c r="D43" s="20"/>
      <c r="E43" s="2"/>
      <c r="F43" s="2"/>
      <c r="G43" s="56"/>
      <c r="K43" s="42" t="s">
        <v>93</v>
      </c>
      <c r="L43" s="18" t="s">
        <v>94</v>
      </c>
      <c r="M43" s="18" t="s">
        <v>95</v>
      </c>
    </row>
    <row r="44" spans="1:13" ht="15.75">
      <c r="A44" s="25" t="s">
        <v>96</v>
      </c>
      <c r="B44" s="7">
        <v>46021</v>
      </c>
      <c r="C44" s="4">
        <v>8</v>
      </c>
      <c r="D44" s="20"/>
      <c r="E44" s="2"/>
      <c r="F44" s="2"/>
      <c r="G44" s="56"/>
    </row>
    <row r="45" spans="1:13" ht="15.75">
      <c r="A45" s="25" t="s">
        <v>97</v>
      </c>
      <c r="B45" s="7">
        <v>46021</v>
      </c>
      <c r="C45" s="4">
        <v>60</v>
      </c>
      <c r="D45" s="20"/>
      <c r="E45" s="2"/>
      <c r="F45" s="2"/>
      <c r="G45" s="56"/>
    </row>
    <row r="46" spans="1:13" ht="15.75">
      <c r="A46" s="25" t="s">
        <v>98</v>
      </c>
      <c r="B46" s="7">
        <v>46021</v>
      </c>
      <c r="C46" s="4">
        <v>26</v>
      </c>
      <c r="D46" s="20"/>
      <c r="E46" s="2"/>
      <c r="F46" s="2"/>
      <c r="G46" s="56"/>
    </row>
    <row r="47" spans="1:13" ht="15.75">
      <c r="A47" s="25" t="s">
        <v>99</v>
      </c>
      <c r="B47" s="7">
        <v>46021</v>
      </c>
      <c r="C47" s="4">
        <v>234.6</v>
      </c>
      <c r="D47" s="20"/>
      <c r="E47" s="2"/>
      <c r="F47" s="2"/>
      <c r="G47" s="56"/>
    </row>
    <row r="48" spans="1:13" ht="15.75">
      <c r="A48" s="25" t="s">
        <v>100</v>
      </c>
      <c r="B48" s="7">
        <v>46021</v>
      </c>
      <c r="C48" s="4">
        <v>75</v>
      </c>
      <c r="D48" s="20"/>
      <c r="E48" s="2"/>
      <c r="F48" s="2"/>
      <c r="G48" s="56"/>
    </row>
    <row r="49" spans="1:7" ht="15.75">
      <c r="A49" s="25" t="s">
        <v>68</v>
      </c>
      <c r="B49" s="7">
        <v>46021</v>
      </c>
      <c r="C49" s="4">
        <v>652.79999999999995</v>
      </c>
      <c r="D49" s="20"/>
      <c r="E49" s="2"/>
      <c r="F49" s="2"/>
      <c r="G49" s="56"/>
    </row>
    <row r="50" spans="1:7" ht="15.75">
      <c r="A50" s="25" t="s">
        <v>101</v>
      </c>
      <c r="B50" s="7">
        <v>46021</v>
      </c>
      <c r="C50" s="4">
        <v>266.87</v>
      </c>
      <c r="D50" s="20"/>
      <c r="E50" s="2"/>
      <c r="F50" s="2"/>
      <c r="G50" s="56"/>
    </row>
    <row r="51" spans="1:7" ht="15.75">
      <c r="A51" s="25" t="s">
        <v>102</v>
      </c>
      <c r="B51" s="7">
        <v>46062</v>
      </c>
      <c r="C51" s="4">
        <v>623</v>
      </c>
      <c r="D51" s="20"/>
      <c r="E51" s="2"/>
      <c r="F51" s="2"/>
      <c r="G51" s="56"/>
    </row>
    <row r="52" spans="1:7" ht="15.75">
      <c r="A52" s="25" t="s">
        <v>103</v>
      </c>
      <c r="B52" s="7">
        <v>46063</v>
      </c>
      <c r="C52" s="4">
        <v>350</v>
      </c>
      <c r="D52" s="20"/>
      <c r="E52" s="2"/>
      <c r="F52" s="2"/>
      <c r="G52" s="56"/>
    </row>
    <row r="53" spans="1:7" ht="15.75">
      <c r="A53" s="25" t="s">
        <v>104</v>
      </c>
      <c r="B53" s="7">
        <v>46064</v>
      </c>
      <c r="C53" s="4">
        <v>411.54</v>
      </c>
      <c r="D53" s="20"/>
      <c r="E53" s="2"/>
      <c r="F53" s="2"/>
      <c r="G53" s="56"/>
    </row>
    <row r="54" spans="1:7" ht="15.75">
      <c r="A54" s="25" t="s">
        <v>105</v>
      </c>
      <c r="B54" s="7">
        <v>46079</v>
      </c>
      <c r="C54" s="4">
        <v>120.6</v>
      </c>
      <c r="D54" s="20"/>
      <c r="E54" s="2"/>
      <c r="F54" s="2"/>
      <c r="G54" s="56"/>
    </row>
    <row r="55" spans="1:7" ht="15.75">
      <c r="A55" s="25" t="s">
        <v>106</v>
      </c>
      <c r="B55" s="7">
        <v>46085</v>
      </c>
      <c r="C55" s="4">
        <v>358.37</v>
      </c>
      <c r="D55" s="20"/>
      <c r="E55" s="2"/>
      <c r="F55" s="2"/>
      <c r="G55" s="56"/>
    </row>
    <row r="56" spans="1:7" ht="15.75">
      <c r="A56" s="25" t="s">
        <v>107</v>
      </c>
      <c r="B56" s="7">
        <v>46092</v>
      </c>
      <c r="C56" s="4">
        <v>500</v>
      </c>
      <c r="D56" s="20"/>
      <c r="E56" s="2"/>
      <c r="F56" s="2"/>
      <c r="G56" s="56"/>
    </row>
    <row r="57" spans="1:7" ht="15.75">
      <c r="A57" s="25" t="s">
        <v>104</v>
      </c>
      <c r="B57" s="7">
        <v>46097</v>
      </c>
      <c r="C57" s="4">
        <v>950.93</v>
      </c>
      <c r="D57" s="20"/>
      <c r="E57" s="2"/>
      <c r="F57" s="2"/>
      <c r="G57" s="56"/>
    </row>
    <row r="58" spans="1:7" ht="15.75">
      <c r="A58" s="25" t="s">
        <v>108</v>
      </c>
      <c r="B58" s="7">
        <v>46098</v>
      </c>
      <c r="C58" s="4">
        <v>1926.98</v>
      </c>
      <c r="D58" s="20"/>
      <c r="E58" s="2"/>
      <c r="F58" s="2"/>
      <c r="G58" s="56"/>
    </row>
    <row r="59" spans="1:7" ht="15.75">
      <c r="A59" s="25" t="s">
        <v>109</v>
      </c>
      <c r="B59" s="7">
        <v>46098</v>
      </c>
      <c r="C59" s="4">
        <v>3000</v>
      </c>
      <c r="D59" s="20"/>
      <c r="E59" s="2"/>
      <c r="F59" s="2"/>
      <c r="G59" s="56"/>
    </row>
    <row r="60" spans="1:7" ht="15.75">
      <c r="A60" s="25" t="s">
        <v>110</v>
      </c>
      <c r="B60" s="7">
        <v>46098</v>
      </c>
      <c r="C60" s="4">
        <v>452</v>
      </c>
      <c r="D60" s="20"/>
      <c r="E60" s="2"/>
      <c r="F60" s="2"/>
      <c r="G60" s="56"/>
    </row>
    <row r="61" spans="1:7" ht="15.75">
      <c r="A61" s="25" t="s">
        <v>111</v>
      </c>
      <c r="B61" s="7">
        <v>46098</v>
      </c>
      <c r="C61" s="4">
        <v>1473.33</v>
      </c>
      <c r="D61" s="20"/>
      <c r="E61" s="2"/>
      <c r="F61" s="2"/>
      <c r="G61" s="56"/>
    </row>
    <row r="62" spans="1:7" ht="15.75">
      <c r="A62" s="25" t="s">
        <v>112</v>
      </c>
      <c r="B62" s="7">
        <v>46098</v>
      </c>
      <c r="C62" s="4">
        <v>340</v>
      </c>
      <c r="D62" s="20"/>
      <c r="E62" s="2"/>
      <c r="F62" s="2"/>
      <c r="G62" s="56"/>
    </row>
    <row r="63" spans="1:7" ht="15.75">
      <c r="A63" s="25" t="s">
        <v>113</v>
      </c>
      <c r="B63" s="7">
        <v>46098</v>
      </c>
      <c r="C63" s="4">
        <v>816.67</v>
      </c>
      <c r="D63" s="20"/>
      <c r="E63" s="2"/>
      <c r="F63" s="2"/>
      <c r="G63" s="56"/>
    </row>
    <row r="64" spans="1:7" ht="15.75">
      <c r="A64" s="25" t="s">
        <v>114</v>
      </c>
      <c r="B64" s="7">
        <v>46098</v>
      </c>
      <c r="C64" s="4">
        <v>1000</v>
      </c>
      <c r="D64" s="20"/>
      <c r="E64" s="2"/>
      <c r="F64" s="2"/>
      <c r="G64" s="56"/>
    </row>
    <row r="65" spans="1:7" ht="15.75">
      <c r="A65" s="25" t="s">
        <v>115</v>
      </c>
      <c r="B65" s="7">
        <v>46098</v>
      </c>
      <c r="C65" s="4">
        <v>2668.07</v>
      </c>
      <c r="D65" s="20"/>
      <c r="E65" s="2"/>
      <c r="F65" s="2"/>
      <c r="G65" s="56"/>
    </row>
    <row r="66" spans="1:7" ht="15.75">
      <c r="A66" s="25" t="s">
        <v>116</v>
      </c>
      <c r="B66" s="7">
        <v>46098</v>
      </c>
      <c r="C66" s="4">
        <v>99.5</v>
      </c>
      <c r="D66" s="20"/>
      <c r="E66" s="2"/>
      <c r="F66" s="2"/>
      <c r="G66" s="56"/>
    </row>
    <row r="67" spans="1:7" ht="15.75">
      <c r="A67" s="25" t="s">
        <v>117</v>
      </c>
      <c r="B67" s="7">
        <v>46099</v>
      </c>
      <c r="C67" s="4">
        <v>537</v>
      </c>
      <c r="D67" s="20"/>
      <c r="E67" s="2"/>
      <c r="F67" s="2"/>
      <c r="G67" s="56"/>
    </row>
    <row r="68" spans="1:7" ht="15.75">
      <c r="A68" s="25" t="s">
        <v>118</v>
      </c>
      <c r="B68" s="7">
        <v>46099</v>
      </c>
      <c r="C68" s="4">
        <v>1000</v>
      </c>
      <c r="D68" s="20"/>
      <c r="E68" s="2"/>
      <c r="F68" s="2"/>
      <c r="G68" s="56"/>
    </row>
    <row r="69" spans="1:7" ht="15.75">
      <c r="A69" s="25" t="s">
        <v>119</v>
      </c>
      <c r="B69" s="7">
        <v>46111</v>
      </c>
      <c r="C69" s="4">
        <v>1850</v>
      </c>
      <c r="D69" s="20"/>
      <c r="E69" s="2"/>
      <c r="F69" s="2"/>
      <c r="G69" s="56"/>
    </row>
    <row r="70" spans="1:7" ht="15.75">
      <c r="A70" s="25" t="s">
        <v>120</v>
      </c>
      <c r="B70" s="7">
        <v>46120</v>
      </c>
      <c r="C70" s="4">
        <v>953</v>
      </c>
      <c r="D70" s="20"/>
      <c r="E70" s="2"/>
      <c r="F70" s="2"/>
      <c r="G70" s="56"/>
    </row>
    <row r="71" spans="1:7" ht="15.75">
      <c r="A71" s="25" t="s">
        <v>104</v>
      </c>
      <c r="B71" s="7">
        <v>46126</v>
      </c>
      <c r="C71" s="4">
        <v>216</v>
      </c>
      <c r="D71" s="20"/>
      <c r="E71" s="2"/>
      <c r="F71" s="2"/>
      <c r="G71" s="56"/>
    </row>
    <row r="72" spans="1:7" ht="15.75">
      <c r="A72" s="25" t="s">
        <v>104</v>
      </c>
      <c r="B72" s="7">
        <v>46126</v>
      </c>
      <c r="C72" s="4">
        <v>70</v>
      </c>
      <c r="D72" s="20"/>
      <c r="E72" s="2"/>
      <c r="F72" s="2"/>
      <c r="G72" s="56"/>
    </row>
    <row r="73" spans="1:7" ht="15.75">
      <c r="A73" s="25" t="s">
        <v>104</v>
      </c>
      <c r="B73" s="7">
        <v>46132</v>
      </c>
      <c r="C73" s="4">
        <v>300</v>
      </c>
      <c r="D73" s="20"/>
      <c r="E73" s="2"/>
      <c r="F73" s="2"/>
      <c r="G73" s="56"/>
    </row>
    <row r="74" spans="1:7" ht="15.75">
      <c r="A74" s="25"/>
      <c r="B74" s="20"/>
      <c r="C74" s="4"/>
      <c r="D74" s="20"/>
      <c r="E74" s="2"/>
      <c r="F74" s="2"/>
      <c r="G74" s="56"/>
    </row>
  </sheetData>
  <mergeCells count="8">
    <mergeCell ref="A1:L3"/>
    <mergeCell ref="A4:G4"/>
    <mergeCell ref="G6:G74"/>
    <mergeCell ref="K10:M10"/>
    <mergeCell ref="P10:R10"/>
    <mergeCell ref="K30:L30"/>
    <mergeCell ref="P30:Q30"/>
    <mergeCell ref="K36:M36"/>
  </mergeCells>
  <pageMargins left="0" right="0" top="0.39370078740157483" bottom="0.39370078740157483" header="0" footer="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D366-083F-4FAF-807D-BFF70D7C0E8A}">
  <dimension ref="B1:L36"/>
  <sheetViews>
    <sheetView workbookViewId="0"/>
  </sheetViews>
  <sheetFormatPr defaultRowHeight="12.75"/>
  <cols>
    <col min="1" max="1" width="12.13671875" customWidth="1"/>
    <col min="2" max="2" width="16.5859375" customWidth="1"/>
    <col min="3" max="3" width="19.6875" customWidth="1"/>
    <col min="4" max="4" width="23.59765625" customWidth="1"/>
    <col min="5" max="5" width="12.13671875" customWidth="1"/>
    <col min="6" max="6" width="18.203125" customWidth="1"/>
    <col min="7" max="7" width="21.57421875" customWidth="1"/>
    <col min="8" max="8" width="26.16015625" customWidth="1"/>
    <col min="9" max="9" width="12.13671875" customWidth="1"/>
    <col min="10" max="10" width="17.93359375" customWidth="1"/>
    <col min="11" max="11" width="20.359375" customWidth="1"/>
    <col min="12" max="12" width="24.13671875" customWidth="1"/>
  </cols>
  <sheetData>
    <row r="1" spans="2:12" ht="15.75">
      <c r="B1" s="55" t="s">
        <v>121</v>
      </c>
      <c r="C1" s="55"/>
      <c r="D1" s="55"/>
      <c r="F1" s="55" t="s">
        <v>122</v>
      </c>
      <c r="G1" s="55"/>
      <c r="H1" s="55"/>
      <c r="J1" s="55" t="s">
        <v>123</v>
      </c>
      <c r="K1" s="55"/>
      <c r="L1" s="55"/>
    </row>
    <row r="2" spans="2:12" ht="15.75">
      <c r="B2" s="33"/>
      <c r="C2" s="34"/>
      <c r="D2" s="32"/>
      <c r="E2" s="43"/>
      <c r="F2" s="44" t="s">
        <v>52</v>
      </c>
      <c r="G2" s="45">
        <v>2075</v>
      </c>
      <c r="H2" s="46" t="s">
        <v>124</v>
      </c>
      <c r="I2" s="43"/>
      <c r="J2" s="47"/>
      <c r="K2" s="48"/>
      <c r="L2" s="47"/>
    </row>
    <row r="3" spans="2:12" ht="15.75">
      <c r="B3" s="33"/>
      <c r="C3" s="34"/>
      <c r="D3" s="34"/>
      <c r="E3" s="43"/>
      <c r="F3" s="44" t="s">
        <v>52</v>
      </c>
      <c r="G3" s="45">
        <v>280</v>
      </c>
      <c r="H3" s="45" t="s">
        <v>125</v>
      </c>
      <c r="I3" s="43"/>
      <c r="J3" s="44"/>
      <c r="K3" s="45"/>
      <c r="L3" s="45"/>
    </row>
    <row r="4" spans="2:12" ht="15.75">
      <c r="B4" s="33"/>
      <c r="C4" s="34"/>
      <c r="D4" s="34"/>
      <c r="E4" s="43"/>
      <c r="F4" s="44" t="s">
        <v>52</v>
      </c>
      <c r="G4" s="45">
        <v>140</v>
      </c>
      <c r="H4" s="45" t="s">
        <v>126</v>
      </c>
      <c r="I4" s="43"/>
      <c r="J4" s="44"/>
      <c r="K4" s="45"/>
      <c r="L4" s="45"/>
    </row>
    <row r="5" spans="2:12" ht="15.75">
      <c r="B5" s="33"/>
      <c r="C5" s="34"/>
      <c r="D5" s="34"/>
      <c r="E5" s="43"/>
      <c r="F5" s="44" t="s">
        <v>52</v>
      </c>
      <c r="G5" s="45">
        <v>2385.3000000000002</v>
      </c>
      <c r="H5" s="45" t="s">
        <v>70</v>
      </c>
      <c r="I5" s="43"/>
      <c r="J5" s="33"/>
      <c r="K5" s="34"/>
      <c r="L5" s="45"/>
    </row>
    <row r="6" spans="2:12" ht="15.75">
      <c r="B6" s="33"/>
      <c r="C6" s="34"/>
      <c r="D6" s="34"/>
      <c r="E6" s="43"/>
      <c r="F6" s="44"/>
      <c r="G6" s="46"/>
      <c r="H6" s="45"/>
      <c r="I6" s="43"/>
      <c r="J6" s="33"/>
      <c r="K6" s="34"/>
      <c r="L6" s="45"/>
    </row>
    <row r="7" spans="2:12" ht="15.75">
      <c r="B7" s="33"/>
      <c r="C7" s="34"/>
      <c r="D7" s="34"/>
      <c r="E7" s="43"/>
      <c r="F7" s="44"/>
      <c r="G7" s="46"/>
      <c r="H7" s="45"/>
      <c r="I7" s="43"/>
      <c r="J7" s="33"/>
      <c r="K7" s="34"/>
      <c r="L7" s="45"/>
    </row>
    <row r="8" spans="2:12" ht="15.75">
      <c r="B8" s="15"/>
      <c r="C8" s="37"/>
      <c r="D8" s="37"/>
      <c r="E8" s="43"/>
      <c r="F8" s="49"/>
      <c r="G8" s="50"/>
      <c r="H8" s="51"/>
      <c r="I8" s="43"/>
      <c r="J8" s="15"/>
      <c r="K8" s="37"/>
      <c r="L8" s="51"/>
    </row>
    <row r="9" spans="2:12" ht="15.75">
      <c r="B9" s="33"/>
      <c r="C9" s="34"/>
      <c r="D9" s="34"/>
      <c r="E9" s="43"/>
      <c r="F9" s="44"/>
      <c r="G9" s="46"/>
      <c r="H9" s="45"/>
      <c r="I9" s="43"/>
      <c r="J9" s="33"/>
      <c r="K9" s="34"/>
      <c r="L9" s="45"/>
    </row>
    <row r="10" spans="2:12" ht="15.75">
      <c r="B10" s="33"/>
      <c r="C10" s="34"/>
      <c r="D10" s="34"/>
      <c r="E10" s="43"/>
      <c r="F10" s="44"/>
      <c r="G10" s="46"/>
      <c r="H10" s="45"/>
      <c r="I10" s="43"/>
      <c r="J10" s="44"/>
      <c r="K10" s="45"/>
      <c r="L10" s="45"/>
    </row>
    <row r="11" spans="2:12" ht="15.75">
      <c r="B11" s="33"/>
      <c r="C11" s="34"/>
      <c r="D11" s="34"/>
      <c r="E11" s="43"/>
      <c r="F11" s="44"/>
      <c r="G11" s="46"/>
      <c r="H11" s="45"/>
      <c r="I11" s="43"/>
      <c r="J11" s="44"/>
      <c r="K11" s="45"/>
      <c r="L11" s="45"/>
    </row>
    <row r="12" spans="2:12" ht="15.75">
      <c r="B12" s="33"/>
      <c r="C12" s="34"/>
      <c r="D12" s="34"/>
      <c r="E12" s="43"/>
      <c r="F12" s="44"/>
      <c r="G12" s="46"/>
      <c r="H12" s="45"/>
      <c r="I12" s="43"/>
      <c r="J12" s="44"/>
      <c r="K12" s="45"/>
      <c r="L12" s="45"/>
    </row>
    <row r="13" spans="2:12" ht="15.75">
      <c r="B13" s="33"/>
      <c r="C13" s="34"/>
      <c r="D13" s="34"/>
      <c r="E13" s="43"/>
      <c r="F13" s="44"/>
      <c r="G13" s="46"/>
      <c r="H13" s="45"/>
      <c r="I13" s="43"/>
      <c r="J13" s="44"/>
      <c r="K13" s="45"/>
      <c r="L13" s="45"/>
    </row>
    <row r="14" spans="2:12" ht="15.75">
      <c r="B14" s="32"/>
      <c r="C14" s="34"/>
      <c r="D14" s="34"/>
      <c r="E14" s="43"/>
      <c r="F14" s="46"/>
      <c r="G14" s="46"/>
      <c r="H14" s="45"/>
      <c r="I14" s="43"/>
      <c r="J14" s="46"/>
      <c r="K14" s="45"/>
      <c r="L14" s="45"/>
    </row>
    <row r="15" spans="2:12" ht="15.75">
      <c r="B15" s="32"/>
      <c r="C15" s="34"/>
      <c r="D15" s="34"/>
      <c r="E15" s="43"/>
      <c r="F15" s="46"/>
      <c r="G15" s="46"/>
      <c r="H15" s="45"/>
      <c r="I15" s="43"/>
      <c r="J15" s="46"/>
      <c r="K15" s="45"/>
      <c r="L15" s="45"/>
    </row>
    <row r="16" spans="2:12" ht="15.75">
      <c r="B16" s="60" t="s">
        <v>16</v>
      </c>
      <c r="C16" s="60"/>
      <c r="D16" s="45">
        <f>SUM(C2:C15)</f>
        <v>0</v>
      </c>
      <c r="F16" s="60" t="s">
        <v>16</v>
      </c>
      <c r="G16" s="60"/>
      <c r="H16" s="45">
        <f>SUM(G2:G15)</f>
        <v>4880.3</v>
      </c>
      <c r="J16" s="60" t="s">
        <v>16</v>
      </c>
      <c r="K16" s="60"/>
      <c r="L16" s="45">
        <f>SUM(L2:L15)</f>
        <v>0</v>
      </c>
    </row>
    <row r="21" spans="2:10" ht="15.75">
      <c r="B21" s="55" t="s">
        <v>127</v>
      </c>
      <c r="C21" s="55"/>
      <c r="D21" s="55"/>
      <c r="F21" s="55" t="s">
        <v>128</v>
      </c>
      <c r="G21" s="55"/>
      <c r="H21" s="55"/>
    </row>
    <row r="22" spans="2:10" ht="15.75">
      <c r="B22" s="44"/>
      <c r="C22" s="45"/>
      <c r="D22" s="46"/>
      <c r="F22" s="33"/>
      <c r="G22" s="34"/>
      <c r="H22" s="32"/>
    </row>
    <row r="23" spans="2:10" ht="15.75">
      <c r="B23" s="44"/>
      <c r="C23" s="45"/>
      <c r="D23" s="45"/>
      <c r="F23" s="33"/>
      <c r="G23" s="34"/>
      <c r="H23" s="34"/>
    </row>
    <row r="24" spans="2:10" ht="15.75">
      <c r="B24" s="44"/>
      <c r="C24" s="45"/>
      <c r="D24" s="45"/>
      <c r="F24" s="33"/>
      <c r="G24" s="34"/>
      <c r="H24" s="34"/>
    </row>
    <row r="25" spans="2:10" ht="15.75">
      <c r="B25" s="44"/>
      <c r="C25" s="45"/>
      <c r="D25" s="45"/>
      <c r="F25" s="33"/>
      <c r="G25" s="34"/>
      <c r="H25" s="34"/>
    </row>
    <row r="26" spans="2:10" ht="15.75">
      <c r="B26" s="44"/>
      <c r="C26" s="45"/>
      <c r="D26" s="45"/>
      <c r="F26" s="33"/>
      <c r="G26" s="34"/>
      <c r="H26" s="34"/>
      <c r="J26" t="s">
        <v>30</v>
      </c>
    </row>
    <row r="27" spans="2:10" ht="15.75">
      <c r="B27" s="44"/>
      <c r="C27" s="45"/>
      <c r="D27" s="45"/>
      <c r="F27" s="33"/>
      <c r="G27" s="34"/>
      <c r="H27" s="34"/>
    </row>
    <row r="28" spans="2:10" ht="15.75">
      <c r="B28" s="49"/>
      <c r="C28" s="51"/>
      <c r="D28" s="51"/>
      <c r="F28" s="15"/>
      <c r="G28" s="37"/>
      <c r="H28" s="37"/>
    </row>
    <row r="29" spans="2:10" ht="15.75">
      <c r="B29" s="44"/>
      <c r="C29" s="45"/>
      <c r="D29" s="45"/>
      <c r="F29" s="33"/>
      <c r="G29" s="34"/>
      <c r="H29" s="34"/>
    </row>
    <row r="30" spans="2:10" ht="15.75">
      <c r="B30" s="44"/>
      <c r="C30" s="45"/>
      <c r="D30" s="45"/>
      <c r="F30" s="33"/>
      <c r="G30" s="34"/>
      <c r="H30" s="34"/>
    </row>
    <row r="31" spans="2:10" ht="15.75">
      <c r="B31" s="44"/>
      <c r="C31" s="45"/>
      <c r="D31" s="45"/>
      <c r="F31" s="33"/>
      <c r="G31" s="34"/>
      <c r="H31" s="34"/>
    </row>
    <row r="32" spans="2:10" ht="15.75">
      <c r="B32" s="44"/>
      <c r="C32" s="45"/>
      <c r="D32" s="45"/>
      <c r="F32" s="33"/>
      <c r="G32" s="34"/>
      <c r="H32" s="34"/>
    </row>
    <row r="33" spans="2:8" ht="15.75">
      <c r="B33" s="44"/>
      <c r="C33" s="45"/>
      <c r="D33" s="45"/>
      <c r="F33" s="33"/>
      <c r="G33" s="34"/>
      <c r="H33" s="34"/>
    </row>
    <row r="34" spans="2:8" ht="15.75">
      <c r="B34" s="46"/>
      <c r="C34" s="45"/>
      <c r="D34" s="45"/>
      <c r="F34" s="32"/>
      <c r="G34" s="34"/>
      <c r="H34" s="34"/>
    </row>
    <row r="35" spans="2:8" ht="15.75">
      <c r="B35" s="46"/>
      <c r="C35" s="45"/>
      <c r="D35" s="45"/>
      <c r="F35" s="32"/>
      <c r="G35" s="34"/>
      <c r="H35" s="34"/>
    </row>
    <row r="36" spans="2:8" ht="15.75">
      <c r="B36" s="60" t="s">
        <v>16</v>
      </c>
      <c r="C36" s="60"/>
      <c r="D36" s="45">
        <f>SUM(C22:C35)</f>
        <v>0</v>
      </c>
      <c r="F36" s="60" t="s">
        <v>16</v>
      </c>
      <c r="G36" s="60"/>
      <c r="H36" s="45">
        <f>SUM(G22:G35)</f>
        <v>0</v>
      </c>
    </row>
  </sheetData>
  <mergeCells count="10">
    <mergeCell ref="J1:L1"/>
    <mergeCell ref="B16:C16"/>
    <mergeCell ref="F16:G16"/>
    <mergeCell ref="J16:K16"/>
    <mergeCell ref="B21:D21"/>
    <mergeCell ref="F21:H21"/>
    <mergeCell ref="B36:C36"/>
    <mergeCell ref="F36:G36"/>
    <mergeCell ref="B1:D1"/>
    <mergeCell ref="F1:H1"/>
  </mergeCells>
  <pageMargins left="0" right="0" top="0.39370078740157483" bottom="0.39370078740157483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33672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DOCUMENTAÇÃO INICIAL</vt:lpstr>
      <vt:lpstr>CONSTRUÇÃO</vt:lpstr>
      <vt:lpstr>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cp:revision>265</cp:revision>
  <dcterms:created xsi:type="dcterms:W3CDTF">2024-04-24T11:28:15Z</dcterms:created>
  <dcterms:modified xsi:type="dcterms:W3CDTF">2026-05-09T01:05:17Z</dcterms:modified>
</cp:coreProperties>
</file>